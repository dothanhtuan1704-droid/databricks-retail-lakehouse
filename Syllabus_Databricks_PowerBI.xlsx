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0D2508DA-0912-4075-B88D-44F3C683FD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ổng quan" sheetId="1" r:id="rId1"/>
    <sheet name="Lịch học" sheetId="2" r:id="rId2"/>
    <sheet name="Đánh giá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4" l="1"/>
  <c r="E9" i="4"/>
  <c r="B9" i="4"/>
  <c r="E8" i="4"/>
  <c r="E7" i="4"/>
  <c r="E6" i="4"/>
  <c r="E5" i="4"/>
  <c r="F31" i="2"/>
  <c r="E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31" i="2" s="1"/>
  <c r="G6" i="2"/>
  <c r="G5" i="2"/>
  <c r="D20" i="1"/>
  <c r="C20" i="1"/>
  <c r="E20" i="1" s="1"/>
  <c r="B20" i="1"/>
  <c r="D19" i="1"/>
  <c r="C19" i="1"/>
  <c r="E19" i="1" s="1"/>
  <c r="B19" i="1"/>
  <c r="D18" i="1"/>
  <c r="E18" i="1" s="1"/>
  <c r="C18" i="1"/>
  <c r="B18" i="1"/>
  <c r="D17" i="1"/>
  <c r="C17" i="1"/>
  <c r="E17" i="1" s="1"/>
  <c r="B17" i="1"/>
  <c r="D16" i="1"/>
  <c r="D21" i="1" s="1"/>
  <c r="C16" i="1"/>
  <c r="C21" i="1" s="1"/>
  <c r="B16" i="1"/>
  <c r="B21" i="1" s="1"/>
  <c r="B9" i="1"/>
  <c r="G32" i="2" l="1"/>
  <c r="B11" i="1" s="1"/>
  <c r="B10" i="1"/>
  <c r="E16" i="1"/>
  <c r="E21" i="1" s="1"/>
</calcChain>
</file>

<file path=xl/sharedStrings.xml><?xml version="1.0" encoding="utf-8"?>
<sst xmlns="http://schemas.openxmlformats.org/spreadsheetml/2006/main" count="162" uniqueCount="154">
  <si>
    <t>Đối tượng</t>
  </si>
  <si>
    <t>Điều kiện đầu vào</t>
  </si>
  <si>
    <t>SQL vững; biết Spark/Scala hoặc Python; biết Power BI cơ bản</t>
  </si>
  <si>
    <t>Hình thức</t>
  </si>
  <si>
    <t>Workshop + lab + migrate thật 1-2 report mẫu (ví dụ D_SHOP_FLC)</t>
  </si>
  <si>
    <t>Đầu ra</t>
  </si>
  <si>
    <t>Số tuần</t>
  </si>
  <si>
    <t>Số buổi</t>
  </si>
  <si>
    <t>Tổng giờ</t>
  </si>
  <si>
    <t>% giờ Lab</t>
  </si>
  <si>
    <t>Giờ theo tuần</t>
  </si>
  <si>
    <t>Tuần</t>
  </si>
  <si>
    <t>Giờ LT</t>
  </si>
  <si>
    <t>Giờ Lab</t>
  </si>
  <si>
    <t>Tổng</t>
  </si>
  <si>
    <t>Chủ đề theo tuần</t>
  </si>
  <si>
    <t>Tuần 1: Databricks nền tảng &amp; ingest</t>
  </si>
  <si>
    <t>Tuần 2: Transform &amp; Medallion</t>
  </si>
  <si>
    <t>Tuần 3: Serving (Databricks SQL), bảo mật, CI/CD</t>
  </si>
  <si>
    <t>Tuần 4: Power BI - kết nối, model, DAX, report</t>
  </si>
  <si>
    <t>Tuần 5: Power BI nâng cao, Embedded, UAT, cutover, capstone</t>
  </si>
  <si>
    <t>Lịch học chi tiết (26 buổi / 5 tuần)</t>
  </si>
  <si>
    <t>Giờ LT/Lab là giả định (xanh dương) - sửa tại cột E, F; Tổng giờ tự tính.</t>
  </si>
  <si>
    <t>Buổi</t>
  </si>
  <si>
    <t>Chủ đề</t>
  </si>
  <si>
    <t>Nội dung</t>
  </si>
  <si>
    <t>Bài lab</t>
  </si>
  <si>
    <t>1.1</t>
  </si>
  <si>
    <t>Databricks cơ bản</t>
  </si>
  <si>
    <t>Workspace, Cluster, SQL Warehouse, Notebook, Repos, UC Volumes</t>
  </si>
  <si>
    <t>Tạo workspace, cluster, kết nối Git</t>
  </si>
  <si>
    <t>1.2</t>
  </si>
  <si>
    <t>Lakehouse &amp; Delta Lake</t>
  </si>
  <si>
    <t>Delta log, ACID, time travel, OPTIMIZE, VACUUM, Liquid Clustering</t>
  </si>
  <si>
    <t>Tạo, update, merge bảng Delta</t>
  </si>
  <si>
    <t>1.3</t>
  </si>
  <si>
    <t>Unity Catalog</t>
  </si>
  <si>
    <t>Metastore, catalog.schema.table, external location, phân quyền, lineage</t>
  </si>
  <si>
    <t>Thiết kế catalog, cấp quyền</t>
  </si>
  <si>
    <t>1.4</t>
  </si>
  <si>
    <t>Ingest dữ liệu</t>
  </si>
  <si>
    <t>JDBC, Lakeflow Connect, Auto Loader (avro/parquet), CDC, incremental</t>
  </si>
  <si>
    <t>Ingest Source DB và file S3 → Bronze</t>
  </si>
  <si>
    <t>1.5</t>
  </si>
  <si>
    <t>Databricks Workflows</t>
  </si>
  <si>
    <t>Job, task, dependency, parameter, retry, job cluster, alert</t>
  </si>
  <si>
    <t>Dựng job nhiều task</t>
  </si>
  <si>
    <t>2.1</t>
  </si>
  <si>
    <t>Medallion</t>
  </si>
  <si>
    <t>Bronze/Silver/Gold, quy ước tên stg/fnd/dim/fact</t>
  </si>
  <si>
    <t>Thiết kế mapping layer</t>
  </si>
  <si>
    <t>2.2</t>
  </si>
  <si>
    <t>Transform bằng PySpark/SQL</t>
  </si>
  <si>
    <t>Port từ Spark Scala, khác biệt API, thư viện, UDF</t>
  </si>
  <si>
    <t>Port 1 job Scala</t>
  </si>
  <si>
    <t>2.3</t>
  </si>
  <si>
    <t>Lakeflow Declarative Pipelines (DLT)</t>
  </si>
  <si>
    <t>Expectations, streaming vs batch, quản lý phụ thuộc</t>
  </si>
  <si>
    <t>Dựng pipeline stg→fnd</t>
  </si>
  <si>
    <t>2.4</t>
  </si>
  <si>
    <t>Dimensional modeling</t>
  </si>
  <si>
    <t>SCD1/2, surrogate key, fact grain, MERGE</t>
  </si>
  <si>
    <t>Xây dim/fact cho D_SHOP_FLC</t>
  </si>
  <si>
    <t>2.5</t>
  </si>
  <si>
    <t>Hiệu năng &amp; chi phí Spark</t>
  </si>
  <si>
    <t>Partition, skew, broadcast, AQE, Photon, cluster sizing, DBU</t>
  </si>
  <si>
    <t>Tối ưu job chậm</t>
  </si>
  <si>
    <t>3.1</t>
  </si>
  <si>
    <t>Databricks SQL</t>
  </si>
  <si>
    <t>SQL Warehouse (Serverless/Pro), query history, caching</t>
  </si>
  <si>
    <t>Tạo warehouse, đo hiệu năng</t>
  </si>
  <si>
    <t>3.2</t>
  </si>
  <si>
    <t>Chuyển SQL/DDL sang Databricks SQL</t>
  </si>
  <si>
    <t>Mapping kiểu dữ liệu, khác biệt dialect, partition/bucket → Delta</t>
  </si>
  <si>
    <t>Convert DDL và 10 query mẫu</t>
  </si>
  <si>
    <t>3.3</t>
  </si>
  <si>
    <t>Tối ưu truy vấn phục vụ report</t>
  </si>
  <si>
    <t>Gold aggregate, Materialized View, Liquid Clustering, statistics</t>
  </si>
  <si>
    <t>So sánh latency trước/sau</t>
  </si>
  <si>
    <t>3.4</t>
  </si>
  <si>
    <t>Bảo mật dữ liệu</t>
  </si>
  <si>
    <t>Row filter, column mask, service principal, token</t>
  </si>
  <si>
    <t>Cấu hình RLS ở nguồn</t>
  </si>
  <si>
    <t>3.5</t>
  </si>
  <si>
    <t>CI/CD &amp; môi trường</t>
  </si>
  <si>
    <t>Dev/UAT/Prod, Asset Bundles (DAB), Terraform, Git</t>
  </si>
  <si>
    <t>Pipeline deploy Databricks</t>
  </si>
  <si>
    <t>4.1</t>
  </si>
  <si>
    <t>Kết nối Databricks</t>
  </si>
  <si>
    <t>Connector, Import vs DirectQuery vs Composite, gateway, OAuth/PAT/SP</t>
  </si>
  <si>
    <t>Kết nối Gold table</t>
  </si>
  <si>
    <t>4.2</t>
  </si>
  <si>
    <t>Semantic model</t>
  </si>
  <si>
    <t>Star schema, relationship, calculation group, incremental refresh</t>
  </si>
  <si>
    <t>Dựng model D_SHOP_FLC</t>
  </si>
  <si>
    <t>4.3</t>
  </si>
  <si>
    <t>DAX</t>
  </si>
  <si>
    <t>Chuyển logic SQL sang measure, time intelligence, context</t>
  </si>
  <si>
    <t>Viết lại KPI chính</t>
  </si>
  <si>
    <t>4.4</t>
  </si>
  <si>
    <t>Thiết kế report</t>
  </si>
  <si>
    <t>Layout, drill, bookmark, tooltip, thiết kế theo người dùng</t>
  </si>
  <si>
    <t>Dựng lại 1 report</t>
  </si>
  <si>
    <t>4.5</t>
  </si>
  <si>
    <t>Tối ưu hiệu năng Power BI</t>
  </si>
  <si>
    <t>Performance Analyzer, DAX Studio, aggregation, giảm cardinality</t>
  </si>
  <si>
    <t>Tối ưu report chậm</t>
  </si>
  <si>
    <t>5.1</t>
  </si>
  <si>
    <t>RLS &amp; bảo mật Power BI</t>
  </si>
  <si>
    <t>RLS tĩnh/động, OLS, workspace role, sensitivity label</t>
  </si>
  <si>
    <t>Cấu hình RLS theo shop</t>
  </si>
  <si>
    <t>5.2</t>
  </si>
  <si>
    <t>Power BI Embedded</t>
  </si>
  <si>
    <t>Capacity, embed token, service principal, nhúng vào Web UI</t>
  </si>
  <si>
    <t>Embed report vào Web UI</t>
  </si>
  <si>
    <t>5.3</t>
  </si>
  <si>
    <t>Deployment &amp; refresh</t>
  </si>
  <si>
    <t>Deployment pipeline, schedule refresh, gateway, Git integration</t>
  </si>
  <si>
    <t>Deploy Dev→UAT→Prod</t>
  </si>
  <si>
    <t>5.4</t>
  </si>
  <si>
    <t>Đối soát &amp; UAT</t>
  </si>
  <si>
    <t>Row count, checksum, sum theo chiều, parallel run, sign-off</t>
  </si>
  <si>
    <t>Script đối soát cũ vs mới</t>
  </si>
  <si>
    <t>5.5</t>
  </si>
  <si>
    <t>Giám sát, cutover &amp; vận hành</t>
  </si>
  <si>
    <t>Alert, system tables, usage metrics, rollback, hypercare</t>
  </si>
  <si>
    <t>Tập dượt cutover</t>
  </si>
  <si>
    <t>5.6</t>
  </si>
  <si>
    <t>Capstone</t>
  </si>
  <si>
    <t>Migrate end-to-end 1 report: Databricks → Power BI</t>
  </si>
  <si>
    <t>Demo + Q&amp;A</t>
  </si>
  <si>
    <t>Tổng cộng</t>
  </si>
  <si>
    <t>% Lab trên tổng giờ</t>
  </si>
  <si>
    <t>Đánh giá học viên</t>
  </si>
  <si>
    <t>Nhập điểm (0-100) vào cột D (xanh dương).</t>
  </si>
  <si>
    <t>Hạng mục</t>
  </si>
  <si>
    <t>Tỷ trọng</t>
  </si>
  <si>
    <t>Mô tả</t>
  </si>
  <si>
    <t>Điểm (0-100)</t>
  </si>
  <si>
    <t>Điểm quy đổi</t>
  </si>
  <si>
    <t>Quiz cuối tuần</t>
  </si>
  <si>
    <t>5 bài quiz</t>
  </si>
  <si>
    <t>Lab hằng tuần</t>
  </si>
  <si>
    <t>Hoàn thành &amp; đúng kết quả lab</t>
  </si>
  <si>
    <t>Migrate 1 report thật, đối soát số liệu</t>
  </si>
  <si>
    <t>Tham gia, review code</t>
  </si>
  <si>
    <t>Tương tác, review chéo</t>
  </si>
  <si>
    <t>Ngưỡng đạt</t>
  </si>
  <si>
    <t>Kết quả</t>
  </si>
  <si>
    <t>Đạt khi tổng ≥ ngưỡng và Capstone ≥ ngưỡng.</t>
  </si>
  <si>
    <t>Tự build 1 report end-to-end: dữ liệu trên Databricks (Medallion) → semantic model → report Power BI, có đối soát</t>
  </si>
  <si>
    <t>SYLLABUS: BUILD REPORT SANG DATABRICKS + POWER BI</t>
  </si>
  <si>
    <t>Phạm vi: Databricks và Power BI</t>
  </si>
  <si>
    <t>Data Engineer, BI Developer, Report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</si>
</sst>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6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164" fontId="6" fillId="0" borderId="0" xfId="0" applyNumberFormat="1" applyFont="1"/>
    <xf numFmtId="9" fontId="5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9" fontId="0" fillId="0" borderId="0" xfId="0" applyNumberFormat="1"/>
    <xf numFmtId="165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workbookViewId="0"/>
  </sheetViews>
  <sheetFormatPr defaultRowHeight="14.4" x14ac:dyDescent="0.3"/>
  <cols>
    <col min="1" max="1" width="22" customWidth="1"/>
    <col min="2" max="2" width="90" customWidth="1"/>
    <col min="3" max="5" width="14" customWidth="1"/>
  </cols>
  <sheetData>
    <row r="1" spans="1:5" ht="17.399999999999999" x14ac:dyDescent="0.3">
      <c r="A1" s="1" t="s">
        <v>151</v>
      </c>
    </row>
    <row r="2" spans="1:5" x14ac:dyDescent="0.3">
      <c r="A2" s="2" t="s">
        <v>152</v>
      </c>
    </row>
    <row r="4" spans="1:5" x14ac:dyDescent="0.3">
      <c r="A4" s="20" t="s">
        <v>0</v>
      </c>
      <c r="B4" s="3" t="s">
        <v>153</v>
      </c>
    </row>
    <row r="5" spans="1:5" x14ac:dyDescent="0.3">
      <c r="A5" s="20" t="s">
        <v>1</v>
      </c>
      <c r="B5" s="3" t="s">
        <v>2</v>
      </c>
    </row>
    <row r="6" spans="1:5" x14ac:dyDescent="0.3">
      <c r="A6" s="20" t="s">
        <v>3</v>
      </c>
      <c r="B6" s="3" t="s">
        <v>4</v>
      </c>
    </row>
    <row r="7" spans="1:5" ht="26.4" x14ac:dyDescent="0.3">
      <c r="A7" s="20" t="s">
        <v>5</v>
      </c>
      <c r="B7" s="3" t="s">
        <v>150</v>
      </c>
    </row>
    <row r="8" spans="1:5" x14ac:dyDescent="0.3">
      <c r="A8" s="20" t="s">
        <v>6</v>
      </c>
      <c r="B8" s="4">
        <v>5</v>
      </c>
    </row>
    <row r="9" spans="1:5" x14ac:dyDescent="0.3">
      <c r="A9" s="20" t="s">
        <v>7</v>
      </c>
      <c r="B9" s="3">
        <f>COUNTA('Lịch học'!B5:B30)</f>
        <v>26</v>
      </c>
    </row>
    <row r="10" spans="1:5" x14ac:dyDescent="0.3">
      <c r="A10" s="20" t="s">
        <v>8</v>
      </c>
      <c r="B10" s="3">
        <f>'Lịch học'!G31</f>
        <v>104</v>
      </c>
    </row>
    <row r="11" spans="1:5" x14ac:dyDescent="0.3">
      <c r="A11" s="20" t="s">
        <v>9</v>
      </c>
      <c r="B11" s="5">
        <f>'Lịch học'!G32</f>
        <v>0.625</v>
      </c>
    </row>
    <row r="14" spans="1:5" x14ac:dyDescent="0.3">
      <c r="A14" s="6" t="s">
        <v>10</v>
      </c>
    </row>
    <row r="15" spans="1:5" x14ac:dyDescent="0.3">
      <c r="A15" s="7" t="s">
        <v>11</v>
      </c>
      <c r="B15" s="7" t="s">
        <v>7</v>
      </c>
      <c r="C15" s="7" t="s">
        <v>12</v>
      </c>
      <c r="D15" s="7" t="s">
        <v>13</v>
      </c>
      <c r="E15" s="7" t="s">
        <v>8</v>
      </c>
    </row>
    <row r="16" spans="1:5" x14ac:dyDescent="0.3">
      <c r="A16" s="8">
        <v>1</v>
      </c>
      <c r="B16" s="8">
        <f>COUNTIF('Lịch học'!$A$5:$A$30,A16)</f>
        <v>5</v>
      </c>
      <c r="C16" s="8">
        <f>SUMIFS('Lịch học'!$E$5:$E$30,'Lịch học'!$A$5:$A$30,A16)</f>
        <v>7.5</v>
      </c>
      <c r="D16" s="8">
        <f>SUMIFS('Lịch học'!$F$5:$F$30,'Lịch học'!$A$5:$A$30,A16)</f>
        <v>12.5</v>
      </c>
      <c r="E16" s="8">
        <f>C16+D16</f>
        <v>20</v>
      </c>
    </row>
    <row r="17" spans="1:5" x14ac:dyDescent="0.3">
      <c r="A17" s="8">
        <v>2</v>
      </c>
      <c r="B17" s="8">
        <f>COUNTIF('Lịch học'!$A$5:$A$30,A17)</f>
        <v>5</v>
      </c>
      <c r="C17" s="8">
        <f>SUMIFS('Lịch học'!$E$5:$E$30,'Lịch học'!$A$5:$A$30,A17)</f>
        <v>7.5</v>
      </c>
      <c r="D17" s="8">
        <f>SUMIFS('Lịch học'!$F$5:$F$30,'Lịch học'!$A$5:$A$30,A17)</f>
        <v>12.5</v>
      </c>
      <c r="E17" s="8">
        <f>C17+D17</f>
        <v>20</v>
      </c>
    </row>
    <row r="18" spans="1:5" x14ac:dyDescent="0.3">
      <c r="A18" s="8">
        <v>3</v>
      </c>
      <c r="B18" s="8">
        <f>COUNTIF('Lịch học'!$A$5:$A$30,A18)</f>
        <v>5</v>
      </c>
      <c r="C18" s="8">
        <f>SUMIFS('Lịch học'!$E$5:$E$30,'Lịch học'!$A$5:$A$30,A18)</f>
        <v>7.5</v>
      </c>
      <c r="D18" s="8">
        <f>SUMIFS('Lịch học'!$F$5:$F$30,'Lịch học'!$A$5:$A$30,A18)</f>
        <v>12.5</v>
      </c>
      <c r="E18" s="8">
        <f>C18+D18</f>
        <v>20</v>
      </c>
    </row>
    <row r="19" spans="1:5" x14ac:dyDescent="0.3">
      <c r="A19" s="8">
        <v>4</v>
      </c>
      <c r="B19" s="8">
        <f>COUNTIF('Lịch học'!$A$5:$A$30,A19)</f>
        <v>5</v>
      </c>
      <c r="C19" s="8">
        <f>SUMIFS('Lịch học'!$E$5:$E$30,'Lịch học'!$A$5:$A$30,A19)</f>
        <v>7.5</v>
      </c>
      <c r="D19" s="8">
        <f>SUMIFS('Lịch học'!$F$5:$F$30,'Lịch học'!$A$5:$A$30,A19)</f>
        <v>12.5</v>
      </c>
      <c r="E19" s="8">
        <f>C19+D19</f>
        <v>20</v>
      </c>
    </row>
    <row r="20" spans="1:5" x14ac:dyDescent="0.3">
      <c r="A20" s="8">
        <v>5</v>
      </c>
      <c r="B20" s="8">
        <f>COUNTIF('Lịch học'!$A$5:$A$30,A20)</f>
        <v>6</v>
      </c>
      <c r="C20" s="8">
        <f>SUMIFS('Lịch học'!$E$5:$E$30,'Lịch học'!$A$5:$A$30,A20)</f>
        <v>9</v>
      </c>
      <c r="D20" s="8">
        <f>SUMIFS('Lịch học'!$F$5:$F$30,'Lịch học'!$A$5:$A$30,A20)</f>
        <v>15</v>
      </c>
      <c r="E20" s="8">
        <f>C20+D20</f>
        <v>24</v>
      </c>
    </row>
    <row r="21" spans="1:5" x14ac:dyDescent="0.3">
      <c r="A21" s="6" t="s">
        <v>14</v>
      </c>
      <c r="B21" s="9">
        <f>SUM(B16:B20)</f>
        <v>26</v>
      </c>
      <c r="C21" s="9">
        <f>SUM(C16:C20)</f>
        <v>39</v>
      </c>
      <c r="D21" s="9">
        <f>SUM(D16:D20)</f>
        <v>65</v>
      </c>
      <c r="E21" s="9">
        <f>SUM(E16:E20)</f>
        <v>104</v>
      </c>
    </row>
    <row r="23" spans="1:5" x14ac:dyDescent="0.3">
      <c r="A23" s="6" t="s">
        <v>15</v>
      </c>
    </row>
    <row r="24" spans="1:5" x14ac:dyDescent="0.3">
      <c r="A24" s="10" t="s">
        <v>16</v>
      </c>
    </row>
    <row r="25" spans="1:5" x14ac:dyDescent="0.3">
      <c r="A25" s="10" t="s">
        <v>17</v>
      </c>
    </row>
    <row r="26" spans="1:5" x14ac:dyDescent="0.3">
      <c r="A26" s="10" t="s">
        <v>18</v>
      </c>
    </row>
    <row r="27" spans="1:5" x14ac:dyDescent="0.3">
      <c r="A27" s="10" t="s">
        <v>19</v>
      </c>
    </row>
    <row r="28" spans="1:5" x14ac:dyDescent="0.3">
      <c r="A28" s="1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>
      <pane ySplit="4" topLeftCell="A5" activePane="bottomLeft" state="frozen"/>
      <selection pane="bottomLeft" activeCell="C21" sqref="C21"/>
    </sheetView>
  </sheetViews>
  <sheetFormatPr defaultRowHeight="14.4" x14ac:dyDescent="0.3"/>
  <cols>
    <col min="1" max="2" width="8" customWidth="1"/>
    <col min="3" max="3" width="34" customWidth="1"/>
    <col min="4" max="4" width="62" customWidth="1"/>
    <col min="5" max="7" width="10" customWidth="1"/>
    <col min="8" max="8" width="40" customWidth="1"/>
  </cols>
  <sheetData>
    <row r="1" spans="1:8" ht="17.399999999999999" x14ac:dyDescent="0.3">
      <c r="A1" s="1" t="s">
        <v>21</v>
      </c>
    </row>
    <row r="2" spans="1:8" x14ac:dyDescent="0.3">
      <c r="A2" s="2" t="s">
        <v>22</v>
      </c>
    </row>
    <row r="4" spans="1:8" x14ac:dyDescent="0.3">
      <c r="A4" s="11" t="s">
        <v>11</v>
      </c>
      <c r="B4" s="11" t="s">
        <v>23</v>
      </c>
      <c r="C4" s="11" t="s">
        <v>24</v>
      </c>
      <c r="D4" s="11" t="s">
        <v>25</v>
      </c>
      <c r="E4" s="11" t="s">
        <v>12</v>
      </c>
      <c r="F4" s="11" t="s">
        <v>13</v>
      </c>
      <c r="G4" s="11" t="s">
        <v>8</v>
      </c>
      <c r="H4" s="11" t="s">
        <v>26</v>
      </c>
    </row>
    <row r="5" spans="1:8" x14ac:dyDescent="0.3">
      <c r="A5" s="8">
        <v>1</v>
      </c>
      <c r="B5" s="8" t="s">
        <v>27</v>
      </c>
      <c r="C5" s="3" t="s">
        <v>28</v>
      </c>
      <c r="D5" s="3" t="s">
        <v>29</v>
      </c>
      <c r="E5" s="12">
        <v>1.5</v>
      </c>
      <c r="F5" s="12">
        <v>2.5</v>
      </c>
      <c r="G5" s="8">
        <f t="shared" ref="G5:G30" si="0">E5+F5</f>
        <v>4</v>
      </c>
      <c r="H5" s="3" t="s">
        <v>30</v>
      </c>
    </row>
    <row r="6" spans="1:8" x14ac:dyDescent="0.3">
      <c r="A6" s="8">
        <v>1</v>
      </c>
      <c r="B6" s="8" t="s">
        <v>31</v>
      </c>
      <c r="C6" s="3" t="s">
        <v>32</v>
      </c>
      <c r="D6" s="3" t="s">
        <v>33</v>
      </c>
      <c r="E6" s="12">
        <v>1.5</v>
      </c>
      <c r="F6" s="12">
        <v>2.5</v>
      </c>
      <c r="G6" s="8">
        <f t="shared" si="0"/>
        <v>4</v>
      </c>
      <c r="H6" s="3" t="s">
        <v>34</v>
      </c>
    </row>
    <row r="7" spans="1:8" x14ac:dyDescent="0.3">
      <c r="A7" s="8">
        <v>1</v>
      </c>
      <c r="B7" s="8" t="s">
        <v>35</v>
      </c>
      <c r="C7" s="3" t="s">
        <v>36</v>
      </c>
      <c r="D7" s="3" t="s">
        <v>37</v>
      </c>
      <c r="E7" s="12">
        <v>1.5</v>
      </c>
      <c r="F7" s="12">
        <v>2.5</v>
      </c>
      <c r="G7" s="8">
        <f t="shared" si="0"/>
        <v>4</v>
      </c>
      <c r="H7" s="3" t="s">
        <v>38</v>
      </c>
    </row>
    <row r="8" spans="1:8" x14ac:dyDescent="0.3">
      <c r="A8" s="8">
        <v>1</v>
      </c>
      <c r="B8" s="8" t="s">
        <v>39</v>
      </c>
      <c r="C8" s="3" t="s">
        <v>40</v>
      </c>
      <c r="D8" s="3" t="s">
        <v>41</v>
      </c>
      <c r="E8" s="12">
        <v>1.5</v>
      </c>
      <c r="F8" s="12">
        <v>2.5</v>
      </c>
      <c r="G8" s="8">
        <f t="shared" si="0"/>
        <v>4</v>
      </c>
      <c r="H8" s="3" t="s">
        <v>42</v>
      </c>
    </row>
    <row r="9" spans="1:8" x14ac:dyDescent="0.3">
      <c r="A9" s="8">
        <v>1</v>
      </c>
      <c r="B9" s="8" t="s">
        <v>43</v>
      </c>
      <c r="C9" s="3" t="s">
        <v>44</v>
      </c>
      <c r="D9" s="3" t="s">
        <v>45</v>
      </c>
      <c r="E9" s="12">
        <v>1.5</v>
      </c>
      <c r="F9" s="12">
        <v>2.5</v>
      </c>
      <c r="G9" s="8">
        <f t="shared" si="0"/>
        <v>4</v>
      </c>
      <c r="H9" s="3" t="s">
        <v>46</v>
      </c>
    </row>
    <row r="10" spans="1:8" x14ac:dyDescent="0.3">
      <c r="A10" s="8">
        <v>2</v>
      </c>
      <c r="B10" s="8" t="s">
        <v>47</v>
      </c>
      <c r="C10" s="3" t="s">
        <v>48</v>
      </c>
      <c r="D10" s="3" t="s">
        <v>49</v>
      </c>
      <c r="E10" s="12">
        <v>1.5</v>
      </c>
      <c r="F10" s="12">
        <v>2.5</v>
      </c>
      <c r="G10" s="8">
        <f t="shared" si="0"/>
        <v>4</v>
      </c>
      <c r="H10" s="3" t="s">
        <v>50</v>
      </c>
    </row>
    <row r="11" spans="1:8" x14ac:dyDescent="0.3">
      <c r="A11" s="8">
        <v>2</v>
      </c>
      <c r="B11" s="8" t="s">
        <v>51</v>
      </c>
      <c r="C11" s="3" t="s">
        <v>52</v>
      </c>
      <c r="D11" s="3" t="s">
        <v>53</v>
      </c>
      <c r="E11" s="12">
        <v>1.5</v>
      </c>
      <c r="F11" s="12">
        <v>2.5</v>
      </c>
      <c r="G11" s="8">
        <f t="shared" si="0"/>
        <v>4</v>
      </c>
      <c r="H11" s="3" t="s">
        <v>54</v>
      </c>
    </row>
    <row r="12" spans="1:8" x14ac:dyDescent="0.3">
      <c r="A12" s="8">
        <v>2</v>
      </c>
      <c r="B12" s="8" t="s">
        <v>55</v>
      </c>
      <c r="C12" s="3" t="s">
        <v>56</v>
      </c>
      <c r="D12" s="3" t="s">
        <v>57</v>
      </c>
      <c r="E12" s="12">
        <v>1.5</v>
      </c>
      <c r="F12" s="12">
        <v>2.5</v>
      </c>
      <c r="G12" s="8">
        <f t="shared" si="0"/>
        <v>4</v>
      </c>
      <c r="H12" s="3" t="s">
        <v>58</v>
      </c>
    </row>
    <row r="13" spans="1:8" x14ac:dyDescent="0.3">
      <c r="A13" s="8">
        <v>2</v>
      </c>
      <c r="B13" s="8" t="s">
        <v>59</v>
      </c>
      <c r="C13" s="3" t="s">
        <v>60</v>
      </c>
      <c r="D13" s="3" t="s">
        <v>61</v>
      </c>
      <c r="E13" s="12">
        <v>1.5</v>
      </c>
      <c r="F13" s="12">
        <v>2.5</v>
      </c>
      <c r="G13" s="8">
        <f t="shared" si="0"/>
        <v>4</v>
      </c>
      <c r="H13" s="3" t="s">
        <v>62</v>
      </c>
    </row>
    <row r="14" spans="1:8" x14ac:dyDescent="0.3">
      <c r="A14" s="8">
        <v>2</v>
      </c>
      <c r="B14" s="8" t="s">
        <v>63</v>
      </c>
      <c r="C14" s="3" t="s">
        <v>64</v>
      </c>
      <c r="D14" s="3" t="s">
        <v>65</v>
      </c>
      <c r="E14" s="12">
        <v>1.5</v>
      </c>
      <c r="F14" s="12">
        <v>2.5</v>
      </c>
      <c r="G14" s="8">
        <f t="shared" si="0"/>
        <v>4</v>
      </c>
      <c r="H14" s="3" t="s">
        <v>66</v>
      </c>
    </row>
    <row r="15" spans="1:8" x14ac:dyDescent="0.3">
      <c r="A15" s="8">
        <v>3</v>
      </c>
      <c r="B15" s="8" t="s">
        <v>67</v>
      </c>
      <c r="C15" s="3" t="s">
        <v>68</v>
      </c>
      <c r="D15" s="3" t="s">
        <v>69</v>
      </c>
      <c r="E15" s="12">
        <v>1.5</v>
      </c>
      <c r="F15" s="12">
        <v>2.5</v>
      </c>
      <c r="G15" s="8">
        <f t="shared" si="0"/>
        <v>4</v>
      </c>
      <c r="H15" s="3" t="s">
        <v>70</v>
      </c>
    </row>
    <row r="16" spans="1:8" ht="26.4" x14ac:dyDescent="0.3">
      <c r="A16" s="8">
        <v>3</v>
      </c>
      <c r="B16" s="8" t="s">
        <v>71</v>
      </c>
      <c r="C16" s="3" t="s">
        <v>72</v>
      </c>
      <c r="D16" s="3" t="s">
        <v>73</v>
      </c>
      <c r="E16" s="12">
        <v>1.5</v>
      </c>
      <c r="F16" s="12">
        <v>2.5</v>
      </c>
      <c r="G16" s="8">
        <f t="shared" si="0"/>
        <v>4</v>
      </c>
      <c r="H16" s="3" t="s">
        <v>74</v>
      </c>
    </row>
    <row r="17" spans="1:8" x14ac:dyDescent="0.3">
      <c r="A17" s="8">
        <v>3</v>
      </c>
      <c r="B17" s="8" t="s">
        <v>75</v>
      </c>
      <c r="C17" s="3" t="s">
        <v>76</v>
      </c>
      <c r="D17" s="3" t="s">
        <v>77</v>
      </c>
      <c r="E17" s="12">
        <v>1.5</v>
      </c>
      <c r="F17" s="12">
        <v>2.5</v>
      </c>
      <c r="G17" s="8">
        <f t="shared" si="0"/>
        <v>4</v>
      </c>
      <c r="H17" s="3" t="s">
        <v>78</v>
      </c>
    </row>
    <row r="18" spans="1:8" x14ac:dyDescent="0.3">
      <c r="A18" s="8">
        <v>3</v>
      </c>
      <c r="B18" s="8" t="s">
        <v>79</v>
      </c>
      <c r="C18" s="3" t="s">
        <v>80</v>
      </c>
      <c r="D18" s="3" t="s">
        <v>81</v>
      </c>
      <c r="E18" s="12">
        <v>1.5</v>
      </c>
      <c r="F18" s="12">
        <v>2.5</v>
      </c>
      <c r="G18" s="8">
        <f t="shared" si="0"/>
        <v>4</v>
      </c>
      <c r="H18" s="3" t="s">
        <v>82</v>
      </c>
    </row>
    <row r="19" spans="1:8" x14ac:dyDescent="0.3">
      <c r="A19" s="8">
        <v>3</v>
      </c>
      <c r="B19" s="8" t="s">
        <v>83</v>
      </c>
      <c r="C19" s="3" t="s">
        <v>84</v>
      </c>
      <c r="D19" s="3" t="s">
        <v>85</v>
      </c>
      <c r="E19" s="12">
        <v>1.5</v>
      </c>
      <c r="F19" s="12">
        <v>2.5</v>
      </c>
      <c r="G19" s="8">
        <f t="shared" si="0"/>
        <v>4</v>
      </c>
      <c r="H19" s="3" t="s">
        <v>86</v>
      </c>
    </row>
    <row r="20" spans="1:8" x14ac:dyDescent="0.3">
      <c r="A20" s="8">
        <v>4</v>
      </c>
      <c r="B20" s="8" t="s">
        <v>87</v>
      </c>
      <c r="C20" s="3" t="s">
        <v>88</v>
      </c>
      <c r="D20" s="3" t="s">
        <v>89</v>
      </c>
      <c r="E20" s="12">
        <v>1.5</v>
      </c>
      <c r="F20" s="12">
        <v>2.5</v>
      </c>
      <c r="G20" s="8">
        <f t="shared" si="0"/>
        <v>4</v>
      </c>
      <c r="H20" s="3" t="s">
        <v>90</v>
      </c>
    </row>
    <row r="21" spans="1:8" x14ac:dyDescent="0.3">
      <c r="A21" s="8">
        <v>4</v>
      </c>
      <c r="B21" s="8" t="s">
        <v>91</v>
      </c>
      <c r="C21" s="3" t="s">
        <v>92</v>
      </c>
      <c r="D21" s="3" t="s">
        <v>93</v>
      </c>
      <c r="E21" s="12">
        <v>1.5</v>
      </c>
      <c r="F21" s="12">
        <v>2.5</v>
      </c>
      <c r="G21" s="8">
        <f t="shared" si="0"/>
        <v>4</v>
      </c>
      <c r="H21" s="3" t="s">
        <v>94</v>
      </c>
    </row>
    <row r="22" spans="1:8" x14ac:dyDescent="0.3">
      <c r="A22" s="8">
        <v>4</v>
      </c>
      <c r="B22" s="8" t="s">
        <v>95</v>
      </c>
      <c r="C22" s="3" t="s">
        <v>96</v>
      </c>
      <c r="D22" s="3" t="s">
        <v>97</v>
      </c>
      <c r="E22" s="12">
        <v>1.5</v>
      </c>
      <c r="F22" s="12">
        <v>2.5</v>
      </c>
      <c r="G22" s="8">
        <f t="shared" si="0"/>
        <v>4</v>
      </c>
      <c r="H22" s="3" t="s">
        <v>98</v>
      </c>
    </row>
    <row r="23" spans="1:8" x14ac:dyDescent="0.3">
      <c r="A23" s="8">
        <v>4</v>
      </c>
      <c r="B23" s="8" t="s">
        <v>99</v>
      </c>
      <c r="C23" s="3" t="s">
        <v>100</v>
      </c>
      <c r="D23" s="3" t="s">
        <v>101</v>
      </c>
      <c r="E23" s="12">
        <v>1.5</v>
      </c>
      <c r="F23" s="12">
        <v>2.5</v>
      </c>
      <c r="G23" s="8">
        <f t="shared" si="0"/>
        <v>4</v>
      </c>
      <c r="H23" s="3" t="s">
        <v>102</v>
      </c>
    </row>
    <row r="24" spans="1:8" x14ac:dyDescent="0.3">
      <c r="A24" s="8">
        <v>4</v>
      </c>
      <c r="B24" s="8" t="s">
        <v>103</v>
      </c>
      <c r="C24" s="3" t="s">
        <v>104</v>
      </c>
      <c r="D24" s="3" t="s">
        <v>105</v>
      </c>
      <c r="E24" s="12">
        <v>1.5</v>
      </c>
      <c r="F24" s="12">
        <v>2.5</v>
      </c>
      <c r="G24" s="8">
        <f t="shared" si="0"/>
        <v>4</v>
      </c>
      <c r="H24" s="3" t="s">
        <v>106</v>
      </c>
    </row>
    <row r="25" spans="1:8" x14ac:dyDescent="0.3">
      <c r="A25" s="8">
        <v>5</v>
      </c>
      <c r="B25" s="8" t="s">
        <v>107</v>
      </c>
      <c r="C25" s="3" t="s">
        <v>108</v>
      </c>
      <c r="D25" s="3" t="s">
        <v>109</v>
      </c>
      <c r="E25" s="12">
        <v>1.5</v>
      </c>
      <c r="F25" s="12">
        <v>2.5</v>
      </c>
      <c r="G25" s="8">
        <f t="shared" si="0"/>
        <v>4</v>
      </c>
      <c r="H25" s="3" t="s">
        <v>110</v>
      </c>
    </row>
    <row r="26" spans="1:8" x14ac:dyDescent="0.3">
      <c r="A26" s="8">
        <v>5</v>
      </c>
      <c r="B26" s="8" t="s">
        <v>111</v>
      </c>
      <c r="C26" s="3" t="s">
        <v>112</v>
      </c>
      <c r="D26" s="3" t="s">
        <v>113</v>
      </c>
      <c r="E26" s="12">
        <v>1.5</v>
      </c>
      <c r="F26" s="12">
        <v>2.5</v>
      </c>
      <c r="G26" s="8">
        <f t="shared" si="0"/>
        <v>4</v>
      </c>
      <c r="H26" s="3" t="s">
        <v>114</v>
      </c>
    </row>
    <row r="27" spans="1:8" x14ac:dyDescent="0.3">
      <c r="A27" s="8">
        <v>5</v>
      </c>
      <c r="B27" s="8" t="s">
        <v>115</v>
      </c>
      <c r="C27" s="3" t="s">
        <v>116</v>
      </c>
      <c r="D27" s="3" t="s">
        <v>117</v>
      </c>
      <c r="E27" s="12">
        <v>1.5</v>
      </c>
      <c r="F27" s="12">
        <v>2.5</v>
      </c>
      <c r="G27" s="8">
        <f t="shared" si="0"/>
        <v>4</v>
      </c>
      <c r="H27" s="3" t="s">
        <v>118</v>
      </c>
    </row>
    <row r="28" spans="1:8" x14ac:dyDescent="0.3">
      <c r="A28" s="8">
        <v>5</v>
      </c>
      <c r="B28" s="8" t="s">
        <v>119</v>
      </c>
      <c r="C28" s="3" t="s">
        <v>120</v>
      </c>
      <c r="D28" s="3" t="s">
        <v>121</v>
      </c>
      <c r="E28" s="12">
        <v>1.5</v>
      </c>
      <c r="F28" s="12">
        <v>2.5</v>
      </c>
      <c r="G28" s="8">
        <f t="shared" si="0"/>
        <v>4</v>
      </c>
      <c r="H28" s="3" t="s">
        <v>122</v>
      </c>
    </row>
    <row r="29" spans="1:8" x14ac:dyDescent="0.3">
      <c r="A29" s="8">
        <v>5</v>
      </c>
      <c r="B29" s="8" t="s">
        <v>123</v>
      </c>
      <c r="C29" s="3" t="s">
        <v>124</v>
      </c>
      <c r="D29" s="3" t="s">
        <v>125</v>
      </c>
      <c r="E29" s="12">
        <v>1.5</v>
      </c>
      <c r="F29" s="12">
        <v>2.5</v>
      </c>
      <c r="G29" s="8">
        <f t="shared" si="0"/>
        <v>4</v>
      </c>
      <c r="H29" s="3" t="s">
        <v>126</v>
      </c>
    </row>
    <row r="30" spans="1:8" x14ac:dyDescent="0.3">
      <c r="A30" s="8">
        <v>5</v>
      </c>
      <c r="B30" s="8" t="s">
        <v>127</v>
      </c>
      <c r="C30" s="3" t="s">
        <v>128</v>
      </c>
      <c r="D30" s="3" t="s">
        <v>129</v>
      </c>
      <c r="E30" s="12">
        <v>1.5</v>
      </c>
      <c r="F30" s="12">
        <v>2.5</v>
      </c>
      <c r="G30" s="8">
        <f t="shared" si="0"/>
        <v>4</v>
      </c>
      <c r="H30" s="3" t="s">
        <v>130</v>
      </c>
    </row>
    <row r="31" spans="1:8" x14ac:dyDescent="0.3">
      <c r="C31" s="6" t="s">
        <v>131</v>
      </c>
      <c r="E31" s="9">
        <f>SUM(E5:E30)</f>
        <v>39</v>
      </c>
      <c r="F31" s="9">
        <f>SUM(F5:F30)</f>
        <v>65</v>
      </c>
      <c r="G31" s="9">
        <f>SUM(G5:G30)</f>
        <v>104</v>
      </c>
    </row>
    <row r="32" spans="1:8" x14ac:dyDescent="0.3">
      <c r="C32" s="6" t="s">
        <v>132</v>
      </c>
      <c r="G32" s="13">
        <f>IF(G31=0,0,F31/G31)</f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>
      <pane ySplit="4" topLeftCell="A5" activePane="bottomLeft" state="frozen"/>
      <selection pane="bottomLeft" activeCell="B24" sqref="B24"/>
    </sheetView>
  </sheetViews>
  <sheetFormatPr defaultRowHeight="14.4" x14ac:dyDescent="0.3"/>
  <cols>
    <col min="1" max="1" width="26" customWidth="1"/>
    <col min="2" max="2" width="12" customWidth="1"/>
    <col min="3" max="3" width="45" customWidth="1"/>
    <col min="4" max="5" width="14" customWidth="1"/>
  </cols>
  <sheetData>
    <row r="1" spans="1:5" ht="17.399999999999999" x14ac:dyDescent="0.3">
      <c r="A1" s="1" t="s">
        <v>133</v>
      </c>
    </row>
    <row r="2" spans="1:5" x14ac:dyDescent="0.3">
      <c r="A2" s="2" t="s">
        <v>134</v>
      </c>
    </row>
    <row r="4" spans="1:5" x14ac:dyDescent="0.3">
      <c r="A4" s="11" t="s">
        <v>135</v>
      </c>
      <c r="B4" s="11" t="s">
        <v>136</v>
      </c>
      <c r="C4" s="11" t="s">
        <v>137</v>
      </c>
      <c r="D4" s="11" t="s">
        <v>138</v>
      </c>
      <c r="E4" s="11" t="s">
        <v>139</v>
      </c>
    </row>
    <row r="5" spans="1:5" x14ac:dyDescent="0.3">
      <c r="A5" s="3" t="s">
        <v>140</v>
      </c>
      <c r="B5" s="14">
        <v>0.2</v>
      </c>
      <c r="C5" s="3" t="s">
        <v>141</v>
      </c>
      <c r="D5" s="4"/>
      <c r="E5" s="15">
        <f>B5*D5</f>
        <v>0</v>
      </c>
    </row>
    <row r="6" spans="1:5" x14ac:dyDescent="0.3">
      <c r="A6" s="3" t="s">
        <v>142</v>
      </c>
      <c r="B6" s="14">
        <v>0.3</v>
      </c>
      <c r="C6" s="3" t="s">
        <v>143</v>
      </c>
      <c r="D6" s="4"/>
      <c r="E6" s="15">
        <f>B6*D6</f>
        <v>0</v>
      </c>
    </row>
    <row r="7" spans="1:5" x14ac:dyDescent="0.3">
      <c r="A7" s="3" t="s">
        <v>128</v>
      </c>
      <c r="B7" s="14">
        <v>0.4</v>
      </c>
      <c r="C7" s="3" t="s">
        <v>144</v>
      </c>
      <c r="D7" s="4"/>
      <c r="E7" s="15">
        <f>B7*D7</f>
        <v>0</v>
      </c>
    </row>
    <row r="8" spans="1:5" x14ac:dyDescent="0.3">
      <c r="A8" s="3" t="s">
        <v>145</v>
      </c>
      <c r="B8" s="14">
        <v>0.1</v>
      </c>
      <c r="C8" s="3" t="s">
        <v>146</v>
      </c>
      <c r="D8" s="4"/>
      <c r="E8" s="15">
        <f>B8*D8</f>
        <v>0</v>
      </c>
    </row>
    <row r="9" spans="1:5" x14ac:dyDescent="0.3">
      <c r="A9" s="6" t="s">
        <v>14</v>
      </c>
      <c r="B9" s="16">
        <f>SUM(B5:B8)</f>
        <v>1</v>
      </c>
      <c r="E9" s="17">
        <f>SUM(E5:E8)</f>
        <v>0</v>
      </c>
    </row>
    <row r="11" spans="1:5" x14ac:dyDescent="0.3">
      <c r="A11" s="6" t="s">
        <v>147</v>
      </c>
      <c r="B11" s="18">
        <v>70</v>
      </c>
    </row>
    <row r="12" spans="1:5" x14ac:dyDescent="0.3">
      <c r="A12" s="6" t="s">
        <v>148</v>
      </c>
      <c r="B12" s="6" t="str">
        <f>IF(COUNT(D5:D8)&lt;4,"Chưa đủ điểm",IF(AND(E9&gt;=B11,D7&gt;=B11),"ĐẠT","KHÔNG ĐẠT"))</f>
        <v>Chưa đủ điểm</v>
      </c>
    </row>
    <row r="13" spans="1:5" x14ac:dyDescent="0.3">
      <c r="A13" s="19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Lịch học</vt:lpstr>
      <vt:lpstr>Đánh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Nguyen Van</cp:lastModifiedBy>
  <dcterms:created xsi:type="dcterms:W3CDTF">2026-10-07T08:48:43Z</dcterms:created>
  <dcterms:modified xsi:type="dcterms:W3CDTF">2026-10-07T08:54:39Z</dcterms:modified>
</cp:coreProperties>
</file>